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ma\Desktop\"/>
    </mc:Choice>
  </mc:AlternateContent>
  <xr:revisionPtr revIDLastSave="0" documentId="8_{36AC7E4C-D12C-4852-940E-C65977D82377}" xr6:coauthVersionLast="47" xr6:coauthVersionMax="47" xr10:uidLastSave="{00000000-0000-0000-0000-000000000000}"/>
  <bookViews>
    <workbookView xWindow="1365" yWindow="420" windowWidth="19320" windowHeight="11880" activeTab="2" xr2:uid="{F0098BC8-A991-480F-A2BE-BE473A50583A}"/>
  </bookViews>
  <sheets>
    <sheet name="Raw_Data" sheetId="1" r:id="rId1"/>
    <sheet name="Calculations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10" i="3"/>
  <c r="C11" i="3"/>
  <c r="C12" i="3"/>
  <c r="C13" i="3"/>
  <c r="C14" i="3"/>
  <c r="C8" i="3"/>
  <c r="B9" i="3"/>
  <c r="B10" i="3"/>
  <c r="B11" i="3"/>
  <c r="B12" i="3"/>
  <c r="B13" i="3"/>
  <c r="B14" i="3"/>
  <c r="B8" i="3"/>
  <c r="A8" i="3"/>
  <c r="A14" i="3"/>
  <c r="A9" i="3"/>
  <c r="A10" i="3"/>
  <c r="A11" i="3"/>
  <c r="A12" i="3"/>
  <c r="A13" i="3"/>
  <c r="B3" i="3"/>
  <c r="B2" i="2"/>
  <c r="B3" i="2"/>
  <c r="B4" i="2"/>
  <c r="B5" i="2"/>
  <c r="B6" i="2"/>
  <c r="B7" i="2"/>
  <c r="B8" i="2"/>
  <c r="B10" i="2" l="1"/>
  <c r="C3" i="2" l="1"/>
  <c r="C7" i="2"/>
  <c r="C8" i="2"/>
  <c r="C6" i="2"/>
  <c r="C4" i="2"/>
  <c r="C5" i="2"/>
  <c r="C2" i="2"/>
</calcChain>
</file>

<file path=xl/sharedStrings.xml><?xml version="1.0" encoding="utf-8"?>
<sst xmlns="http://schemas.openxmlformats.org/spreadsheetml/2006/main" count="65" uniqueCount="35">
  <si>
    <t>Date</t>
  </si>
  <si>
    <t>Description</t>
  </si>
  <si>
    <t>Category</t>
  </si>
  <si>
    <t>Amount</t>
  </si>
  <si>
    <t>January Rent</t>
  </si>
  <si>
    <t>Grocery Store</t>
  </si>
  <si>
    <t>Gas Station</t>
  </si>
  <si>
    <t>Electric Bill</t>
  </si>
  <si>
    <t>Coffee Shop</t>
  </si>
  <si>
    <t>Internet Bill</t>
  </si>
  <si>
    <t>Gym Membership</t>
  </si>
  <si>
    <t>Ride Share</t>
  </si>
  <si>
    <t>Streaming Subscription</t>
  </si>
  <si>
    <t>Dining Out</t>
  </si>
  <si>
    <t>Pharmacy</t>
  </si>
  <si>
    <t>Water Bill</t>
  </si>
  <si>
    <t>Movie Tickets</t>
  </si>
  <si>
    <t>Mobile Phone Bill</t>
  </si>
  <si>
    <t>Misc Household Supplies</t>
  </si>
  <si>
    <t>Housing</t>
  </si>
  <si>
    <t>Food</t>
  </si>
  <si>
    <t>Transportation</t>
  </si>
  <si>
    <t>Utilities</t>
  </si>
  <si>
    <t>Health</t>
  </si>
  <si>
    <t>Other</t>
  </si>
  <si>
    <t>% of Total</t>
  </si>
  <si>
    <t>Entertainment</t>
  </si>
  <si>
    <t>Total Spending</t>
  </si>
  <si>
    <t>January Expense Summary</t>
  </si>
  <si>
    <t>Total Spend</t>
  </si>
  <si>
    <t>Top Spending Categories</t>
  </si>
  <si>
    <t>Conclusion</t>
  </si>
  <si>
    <t>• Housing accounts for over half of total monthly spending.</t>
  </si>
  <si>
    <t>• Food &amp; Utilities make up about one-third of total expenses.</t>
  </si>
  <si>
    <t>•  Entertainment and Other expenses remain under 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</si>
</sst>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44" fontId="1" fillId="0" borderId="0" xfId="1" applyFont="1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164" fontId="0" fillId="0" borderId="0" xfId="2" applyNumberFormat="1" applyFont="1"/>
    <xf numFmtId="0" fontId="3" fillId="0" borderId="0" xfId="0" applyFont="1"/>
    <xf numFmtId="44" fontId="0" fillId="0" borderId="0" xfId="0" applyNumberFormat="1"/>
    <xf numFmtId="44" fontId="0" fillId="0" borderId="2" xfId="0" applyNumberFormat="1" applyBorder="1"/>
    <xf numFmtId="164" fontId="0" fillId="0" borderId="2" xfId="2" applyNumberFormat="1" applyFont="1" applyBorder="1"/>
    <xf numFmtId="0" fontId="1" fillId="0" borderId="2" xfId="0" applyFont="1" applyBorder="1"/>
    <xf numFmtId="164" fontId="1" fillId="0" borderId="0" xfId="2" applyNumberFormat="1" applyFont="1"/>
    <xf numFmtId="0" fontId="4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Summary!$B$7</c:f>
              <c:strCache>
                <c:ptCount val="1"/>
                <c:pt idx="0">
                  <c:v>Total Spend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2C-4A8C-B8DC-38209E3B1C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2C-4A8C-B8DC-38209E3B1C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2C-4A8C-B8DC-38209E3B1C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2C-4A8C-B8DC-38209E3B1C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8CB-431A-B686-9523E1664D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72C-4A8C-B8DC-38209E3B1C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CB-431A-B686-9523E1664D18}"/>
              </c:ext>
            </c:extLst>
          </c:dPt>
          <c:dLbls>
            <c:dLbl>
              <c:idx val="4"/>
              <c:layout>
                <c:manualLayout>
                  <c:x val="-1.5649450983578301E-2"/>
                  <c:y val="-1.3016060736633858E-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CB-431A-B686-9523E1664D18}"/>
                </c:ext>
              </c:extLst>
            </c:dLbl>
            <c:dLbl>
              <c:idx val="6"/>
              <c:layout>
                <c:manualLayout>
                  <c:x val="3.1298901967156526E-3"/>
                  <c:y val="-6.5080303683169291E-1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CB-431A-B686-9523E1664D1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Summary!$A$8:$A$14</c:f>
              <c:strCache>
                <c:ptCount val="7"/>
                <c:pt idx="0">
                  <c:v>Housing</c:v>
                </c:pt>
                <c:pt idx="1">
                  <c:v>Food</c:v>
                </c:pt>
                <c:pt idx="2">
                  <c:v>Transportation</c:v>
                </c:pt>
                <c:pt idx="3">
                  <c:v>Utilities</c:v>
                </c:pt>
                <c:pt idx="4">
                  <c:v>Health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Summary!$B$8:$B$14</c:f>
              <c:numCache>
                <c:formatCode>_("$"* #,##0.00_);_("$"* \(#,##0.00\);_("$"* "-"??_);_(@_)</c:formatCode>
                <c:ptCount val="7"/>
                <c:pt idx="0">
                  <c:v>1200</c:v>
                </c:pt>
                <c:pt idx="1">
                  <c:v>422.57999999999993</c:v>
                </c:pt>
                <c:pt idx="2">
                  <c:v>139.4</c:v>
                </c:pt>
                <c:pt idx="3">
                  <c:v>321.77</c:v>
                </c:pt>
                <c:pt idx="4">
                  <c:v>72.849999999999994</c:v>
                </c:pt>
                <c:pt idx="5">
                  <c:v>47.99</c:v>
                </c:pt>
                <c:pt idx="6">
                  <c:v>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B-431A-B686-9523E1664D18}"/>
            </c:ext>
          </c:extLst>
        </c:ser>
        <c:ser>
          <c:idx val="1"/>
          <c:order val="1"/>
          <c:tx>
            <c:strRef>
              <c:f>Summary!$C$7</c:f>
              <c:strCache>
                <c:ptCount val="1"/>
                <c:pt idx="0">
                  <c:v>%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72C-4A8C-B8DC-38209E3B1C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72C-4A8C-B8DC-38209E3B1C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72C-4A8C-B8DC-38209E3B1C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72C-4A8C-B8DC-38209E3B1C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72C-4A8C-B8DC-38209E3B1C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72C-4A8C-B8DC-38209E3B1C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72C-4A8C-B8DC-38209E3B1C30}"/>
              </c:ext>
            </c:extLst>
          </c:dPt>
          <c:cat>
            <c:strRef>
              <c:f>Summary!$A$8:$A$14</c:f>
              <c:strCache>
                <c:ptCount val="7"/>
                <c:pt idx="0">
                  <c:v>Housing</c:v>
                </c:pt>
                <c:pt idx="1">
                  <c:v>Food</c:v>
                </c:pt>
                <c:pt idx="2">
                  <c:v>Transportation</c:v>
                </c:pt>
                <c:pt idx="3">
                  <c:v>Utilities</c:v>
                </c:pt>
                <c:pt idx="4">
                  <c:v>Health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Summary!$C$8:$C$14</c:f>
              <c:numCache>
                <c:formatCode>0.0%</c:formatCode>
                <c:ptCount val="7"/>
                <c:pt idx="0">
                  <c:v>0.53464261368952415</c:v>
                </c:pt>
                <c:pt idx="1">
                  <c:v>0.1882743964107659</c:v>
                </c:pt>
                <c:pt idx="2">
                  <c:v>6.2107650290266395E-2</c:v>
                </c:pt>
                <c:pt idx="3">
                  <c:v>0.14335996150573183</c:v>
                </c:pt>
                <c:pt idx="4">
                  <c:v>3.2457262006068195E-2</c:v>
                </c:pt>
                <c:pt idx="5">
                  <c:v>2.1381249192466888E-2</c:v>
                </c:pt>
                <c:pt idx="6">
                  <c:v>1.7776866905176679E-2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B-431A-B686-9523E1664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647698</xdr:colOff>
      <xdr:row>0</xdr:row>
      <xdr:rowOff>0</xdr:rowOff>
    </xdr:from>
    <xdr:to>
      <xdr:col>22</xdr:col>
      <xdr:colOff>590549</xdr:colOff>
      <xdr:row>47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0DEC63-3F97-3BD6-C8EB-126FB432F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9D95-921B-4DEE-9620-3B4C4BE055A3}">
  <dimension ref="A1:D21"/>
  <sheetViews>
    <sheetView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9.42578125" bestFit="1" customWidth="1"/>
    <col min="2" max="2" width="23.5703125" bestFit="1" customWidth="1"/>
    <col min="3" max="3" width="14.28515625" bestFit="1" customWidth="1"/>
    <col min="4" max="4" width="10.5703125" style="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s="2">
        <v>45659</v>
      </c>
      <c r="B2" t="s">
        <v>4</v>
      </c>
      <c r="C2" t="s">
        <v>19</v>
      </c>
      <c r="D2" s="4">
        <v>1200</v>
      </c>
    </row>
    <row r="3" spans="1:4" x14ac:dyDescent="0.25">
      <c r="A3" s="2">
        <v>45660</v>
      </c>
      <c r="B3" t="s">
        <v>5</v>
      </c>
      <c r="C3" t="s">
        <v>20</v>
      </c>
      <c r="D3" s="4">
        <v>86.45</v>
      </c>
    </row>
    <row r="4" spans="1:4" x14ac:dyDescent="0.25">
      <c r="A4" s="2">
        <v>45661</v>
      </c>
      <c r="B4" t="s">
        <v>6</v>
      </c>
      <c r="C4" t="s">
        <v>21</v>
      </c>
      <c r="D4" s="4">
        <v>52.3</v>
      </c>
    </row>
    <row r="5" spans="1:4" x14ac:dyDescent="0.25">
      <c r="A5" s="2">
        <v>45663</v>
      </c>
      <c r="B5" t="s">
        <v>7</v>
      </c>
      <c r="C5" t="s">
        <v>22</v>
      </c>
      <c r="D5" s="4">
        <v>132.18</v>
      </c>
    </row>
    <row r="6" spans="1:4" x14ac:dyDescent="0.25">
      <c r="A6" s="2">
        <v>45664</v>
      </c>
      <c r="B6" t="s">
        <v>8</v>
      </c>
      <c r="C6" t="s">
        <v>20</v>
      </c>
      <c r="D6" s="4">
        <v>9.75</v>
      </c>
    </row>
    <row r="7" spans="1:4" x14ac:dyDescent="0.25">
      <c r="A7" s="2">
        <v>45665</v>
      </c>
      <c r="B7" t="s">
        <v>9</v>
      </c>
      <c r="C7" t="s">
        <v>22</v>
      </c>
      <c r="D7" s="4">
        <v>79.989999999999995</v>
      </c>
    </row>
    <row r="8" spans="1:4" x14ac:dyDescent="0.25">
      <c r="A8" s="2">
        <v>45666</v>
      </c>
      <c r="B8" t="s">
        <v>10</v>
      </c>
      <c r="C8" t="s">
        <v>23</v>
      </c>
      <c r="D8" s="4">
        <v>45</v>
      </c>
    </row>
    <row r="9" spans="1:4" x14ac:dyDescent="0.25">
      <c r="A9" s="2">
        <v>45667</v>
      </c>
      <c r="B9" t="s">
        <v>5</v>
      </c>
      <c r="C9" t="s">
        <v>20</v>
      </c>
      <c r="D9" s="4">
        <v>102.63</v>
      </c>
    </row>
    <row r="10" spans="1:4" x14ac:dyDescent="0.25">
      <c r="A10" s="2">
        <v>45669</v>
      </c>
      <c r="B10" t="s">
        <v>11</v>
      </c>
      <c r="C10" t="s">
        <v>21</v>
      </c>
      <c r="D10" s="4">
        <v>18.5</v>
      </c>
    </row>
    <row r="11" spans="1:4" x14ac:dyDescent="0.25">
      <c r="A11" s="2">
        <v>45670</v>
      </c>
      <c r="B11" t="s">
        <v>12</v>
      </c>
      <c r="C11" t="s">
        <v>26</v>
      </c>
      <c r="D11" s="4">
        <v>15.99</v>
      </c>
    </row>
    <row r="12" spans="1:4" x14ac:dyDescent="0.25">
      <c r="A12" s="2">
        <v>45672</v>
      </c>
      <c r="B12" t="s">
        <v>13</v>
      </c>
      <c r="C12" t="s">
        <v>20</v>
      </c>
      <c r="D12" s="4">
        <v>58.4</v>
      </c>
    </row>
    <row r="13" spans="1:4" x14ac:dyDescent="0.25">
      <c r="A13" s="2">
        <v>45674</v>
      </c>
      <c r="B13" t="s">
        <v>14</v>
      </c>
      <c r="C13" t="s">
        <v>23</v>
      </c>
      <c r="D13" s="4">
        <v>27.85</v>
      </c>
    </row>
    <row r="14" spans="1:4" x14ac:dyDescent="0.25">
      <c r="A14" s="2">
        <v>45675</v>
      </c>
      <c r="B14" t="s">
        <v>6</v>
      </c>
      <c r="C14" t="s">
        <v>21</v>
      </c>
      <c r="D14" s="4">
        <v>47.2</v>
      </c>
    </row>
    <row r="15" spans="1:4" x14ac:dyDescent="0.25">
      <c r="A15" s="2">
        <v>45677</v>
      </c>
      <c r="B15" t="s">
        <v>15</v>
      </c>
      <c r="C15" t="s">
        <v>22</v>
      </c>
      <c r="D15" s="4">
        <v>41.6</v>
      </c>
    </row>
    <row r="16" spans="1:4" x14ac:dyDescent="0.25">
      <c r="A16" s="2">
        <v>45679</v>
      </c>
      <c r="B16" t="s">
        <v>5</v>
      </c>
      <c r="C16" t="s">
        <v>20</v>
      </c>
      <c r="D16" s="4">
        <v>94.1</v>
      </c>
    </row>
    <row r="17" spans="1:4" x14ac:dyDescent="0.25">
      <c r="A17" s="2">
        <v>45680</v>
      </c>
      <c r="B17" t="s">
        <v>16</v>
      </c>
      <c r="C17" t="s">
        <v>26</v>
      </c>
      <c r="D17" s="4">
        <v>32</v>
      </c>
    </row>
    <row r="18" spans="1:4" x14ac:dyDescent="0.25">
      <c r="A18" s="2">
        <v>45682</v>
      </c>
      <c r="B18" t="s">
        <v>13</v>
      </c>
      <c r="C18" t="s">
        <v>20</v>
      </c>
      <c r="D18" s="4">
        <v>71.25</v>
      </c>
    </row>
    <row r="19" spans="1:4" x14ac:dyDescent="0.25">
      <c r="A19" s="2">
        <v>45684</v>
      </c>
      <c r="B19" t="s">
        <v>17</v>
      </c>
      <c r="C19" t="s">
        <v>22</v>
      </c>
      <c r="D19" s="4">
        <v>68</v>
      </c>
    </row>
    <row r="20" spans="1:4" x14ac:dyDescent="0.25">
      <c r="A20" s="2">
        <v>45685</v>
      </c>
      <c r="B20" t="s">
        <v>11</v>
      </c>
      <c r="C20" t="s">
        <v>21</v>
      </c>
      <c r="D20" s="4">
        <v>21.4</v>
      </c>
    </row>
    <row r="21" spans="1:4" x14ac:dyDescent="0.25">
      <c r="A21" s="2">
        <v>45687</v>
      </c>
      <c r="B21" t="s">
        <v>18</v>
      </c>
      <c r="C21" t="s">
        <v>24</v>
      </c>
      <c r="D21" s="4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F0A6-383E-4A9C-A0EC-7569CEF37209}">
  <dimension ref="A1:C10"/>
  <sheetViews>
    <sheetView workbookViewId="0">
      <pane ySplit="1" topLeftCell="A2" activePane="bottomLeft" state="frozen"/>
      <selection pane="bottomLeft" activeCell="E58" sqref="E58"/>
    </sheetView>
  </sheetViews>
  <sheetFormatPr defaultRowHeight="15" x14ac:dyDescent="0.25"/>
  <cols>
    <col min="1" max="1" width="14.42578125" bestFit="1" customWidth="1"/>
    <col min="2" max="2" width="13.140625" style="4" bestFit="1" customWidth="1"/>
    <col min="3" max="3" width="9.7109375" bestFit="1" customWidth="1"/>
  </cols>
  <sheetData>
    <row r="1" spans="1:3" s="1" customFormat="1" x14ac:dyDescent="0.25">
      <c r="A1" s="1" t="s">
        <v>2</v>
      </c>
      <c r="B1" s="3" t="s">
        <v>29</v>
      </c>
      <c r="C1" s="1" t="s">
        <v>25</v>
      </c>
    </row>
    <row r="2" spans="1:3" x14ac:dyDescent="0.25">
      <c r="A2" s="1" t="s">
        <v>19</v>
      </c>
      <c r="B2" s="4">
        <f>SUMIF(Raw_Data!C:C, A2, Raw_Data!D:D)</f>
        <v>1200</v>
      </c>
      <c r="C2" s="7">
        <f>B2/$B$10</f>
        <v>0.53464261368952415</v>
      </c>
    </row>
    <row r="3" spans="1:3" x14ac:dyDescent="0.25">
      <c r="A3" s="1" t="s">
        <v>20</v>
      </c>
      <c r="B3" s="4">
        <f>SUMIF(Raw_Data!C:C, A3, Raw_Data!D:D)</f>
        <v>422.57999999999993</v>
      </c>
      <c r="C3" s="7">
        <f t="shared" ref="C3:C8" si="0">B3/$B$10</f>
        <v>0.1882743964107659</v>
      </c>
    </row>
    <row r="4" spans="1:3" x14ac:dyDescent="0.25">
      <c r="A4" s="1" t="s">
        <v>21</v>
      </c>
      <c r="B4" s="4">
        <f>SUMIF(Raw_Data!C:C, A4, Raw_Data!D:D)</f>
        <v>139.4</v>
      </c>
      <c r="C4" s="7">
        <f t="shared" si="0"/>
        <v>6.2107650290266395E-2</v>
      </c>
    </row>
    <row r="5" spans="1:3" x14ac:dyDescent="0.25">
      <c r="A5" s="1" t="s">
        <v>22</v>
      </c>
      <c r="B5" s="4">
        <f>SUMIF(Raw_Data!C:C, A5, Raw_Data!D:D)</f>
        <v>321.77</v>
      </c>
      <c r="C5" s="7">
        <f t="shared" si="0"/>
        <v>0.14335996150573183</v>
      </c>
    </row>
    <row r="6" spans="1:3" x14ac:dyDescent="0.25">
      <c r="A6" s="1" t="s">
        <v>23</v>
      </c>
      <c r="B6" s="4">
        <f>SUMIF(Raw_Data!C:C, A6, Raw_Data!D:D)</f>
        <v>72.849999999999994</v>
      </c>
      <c r="C6" s="7">
        <f t="shared" si="0"/>
        <v>3.2457262006068195E-2</v>
      </c>
    </row>
    <row r="7" spans="1:3" x14ac:dyDescent="0.25">
      <c r="A7" s="1" t="s">
        <v>26</v>
      </c>
      <c r="B7" s="4">
        <f>SUMIF(Raw_Data!C:C, A7, Raw_Data!D:D)</f>
        <v>47.99</v>
      </c>
      <c r="C7" s="7">
        <f t="shared" si="0"/>
        <v>2.1381249192466888E-2</v>
      </c>
    </row>
    <row r="8" spans="1:3" x14ac:dyDescent="0.25">
      <c r="A8" s="1" t="s">
        <v>24</v>
      </c>
      <c r="B8" s="4">
        <f>SUMIF(Raw_Data!C:C, A8, Raw_Data!D:D)</f>
        <v>39.9</v>
      </c>
      <c r="C8" s="7">
        <f t="shared" si="0"/>
        <v>1.7776866905176679E-2</v>
      </c>
    </row>
    <row r="10" spans="1:3" x14ac:dyDescent="0.25">
      <c r="A10" s="5" t="s">
        <v>27</v>
      </c>
      <c r="B10" s="6">
        <f>SUM(B2:B8)</f>
        <v>2244.4899999999998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4FA5-F1AA-4E89-9C62-301135B1AC67}">
  <dimension ref="A1:L49"/>
  <sheetViews>
    <sheetView tabSelected="1" workbookViewId="0">
      <selection activeCell="A23" sqref="A23"/>
    </sheetView>
  </sheetViews>
  <sheetFormatPr defaultRowHeight="15" x14ac:dyDescent="0.25"/>
  <cols>
    <col min="1" max="1" width="31.140625" bestFit="1" customWidth="1"/>
    <col min="2" max="2" width="11.5703125" bestFit="1" customWidth="1"/>
    <col min="3" max="3" width="9.7109375" style="7" bestFit="1" customWidth="1"/>
  </cols>
  <sheetData>
    <row r="1" spans="1:3" ht="18.75" x14ac:dyDescent="0.3">
      <c r="A1" s="8" t="s">
        <v>28</v>
      </c>
    </row>
    <row r="3" spans="1:3" x14ac:dyDescent="0.25">
      <c r="A3" s="12" t="s">
        <v>27</v>
      </c>
      <c r="B3" s="10">
        <f>Calculations!B10</f>
        <v>2244.4899999999998</v>
      </c>
      <c r="C3" s="11"/>
    </row>
    <row r="4" spans="1:3" x14ac:dyDescent="0.25">
      <c r="B4" s="9"/>
    </row>
    <row r="5" spans="1:3" x14ac:dyDescent="0.25">
      <c r="A5" s="1" t="s">
        <v>30</v>
      </c>
    </row>
    <row r="7" spans="1:3" x14ac:dyDescent="0.25">
      <c r="A7" s="1" t="s">
        <v>2</v>
      </c>
      <c r="B7" s="1" t="s">
        <v>29</v>
      </c>
      <c r="C7" s="13" t="s">
        <v>25</v>
      </c>
    </row>
    <row r="8" spans="1:3" x14ac:dyDescent="0.25">
      <c r="A8" t="str">
        <f>Calculations!A2</f>
        <v>Housing</v>
      </c>
      <c r="B8" s="9">
        <f>Calculations!B2</f>
        <v>1200</v>
      </c>
      <c r="C8" s="7">
        <f>Calculations!C2</f>
        <v>0.53464261368952415</v>
      </c>
    </row>
    <row r="9" spans="1:3" x14ac:dyDescent="0.25">
      <c r="A9" t="str">
        <f>Calculations!A3</f>
        <v>Food</v>
      </c>
      <c r="B9" s="9">
        <f>Calculations!B3</f>
        <v>422.57999999999993</v>
      </c>
      <c r="C9" s="7">
        <f>Calculations!C3</f>
        <v>0.1882743964107659</v>
      </c>
    </row>
    <row r="10" spans="1:3" x14ac:dyDescent="0.25">
      <c r="A10" t="str">
        <f>Calculations!A4</f>
        <v>Transportation</v>
      </c>
      <c r="B10" s="9">
        <f>Calculations!B4</f>
        <v>139.4</v>
      </c>
      <c r="C10" s="7">
        <f>Calculations!C4</f>
        <v>6.2107650290266395E-2</v>
      </c>
    </row>
    <row r="11" spans="1:3" x14ac:dyDescent="0.25">
      <c r="A11" t="str">
        <f>Calculations!A5</f>
        <v>Utilities</v>
      </c>
      <c r="B11" s="9">
        <f>Calculations!B5</f>
        <v>321.77</v>
      </c>
      <c r="C11" s="7">
        <f>Calculations!C5</f>
        <v>0.14335996150573183</v>
      </c>
    </row>
    <row r="12" spans="1:3" x14ac:dyDescent="0.25">
      <c r="A12" t="str">
        <f>Calculations!A6</f>
        <v>Health</v>
      </c>
      <c r="B12" s="9">
        <f>Calculations!B6</f>
        <v>72.849999999999994</v>
      </c>
      <c r="C12" s="7">
        <f>Calculations!C6</f>
        <v>3.2457262006068195E-2</v>
      </c>
    </row>
    <row r="13" spans="1:3" x14ac:dyDescent="0.25">
      <c r="A13" t="str">
        <f>Calculations!A7</f>
        <v>Entertainment</v>
      </c>
      <c r="B13" s="9">
        <f>Calculations!B7</f>
        <v>47.99</v>
      </c>
      <c r="C13" s="7">
        <f>Calculations!C7</f>
        <v>2.1381249192466888E-2</v>
      </c>
    </row>
    <row r="14" spans="1:3" x14ac:dyDescent="0.25">
      <c r="A14" t="str">
        <f>Calculations!A8</f>
        <v>Other</v>
      </c>
      <c r="B14" s="9">
        <f>Calculations!B8</f>
        <v>39.9</v>
      </c>
      <c r="C14" s="7">
        <f>Calculations!C8</f>
        <v>1.7776866905176679E-2</v>
      </c>
    </row>
    <row r="16" spans="1:3" x14ac:dyDescent="0.25">
      <c r="A16" s="1" t="s">
        <v>31</v>
      </c>
    </row>
    <row r="17" spans="1:1" x14ac:dyDescent="0.25">
      <c r="A17" t="s">
        <v>32</v>
      </c>
    </row>
    <row r="18" spans="1:1" x14ac:dyDescent="0.25">
      <c r="A18" t="s">
        <v>33</v>
      </c>
    </row>
    <row r="19" spans="1:1" x14ac:dyDescent="0.25">
      <c r="A19" t="s">
        <v>34</v>
      </c>
    </row>
    <row r="49" spans="12:12" ht="15" customHeight="1" x14ac:dyDescent="0.4">
      <c r="L49" s="1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049599685DFC4E84EB532FE4E4C444" ma:contentTypeVersion="4" ma:contentTypeDescription="Create a new document." ma:contentTypeScope="" ma:versionID="fa33530dd5eb7bae9223fb85354a39a5">
  <xsd:schema xmlns:xsd="http://www.w3.org/2001/XMLSchema" xmlns:xs="http://www.w3.org/2001/XMLSchema" xmlns:p="http://schemas.microsoft.com/office/2006/metadata/properties" xmlns:ns3="b3535319-150c-4f7f-b60c-81bb3d4b3860" targetNamespace="http://schemas.microsoft.com/office/2006/metadata/properties" ma:root="true" ma:fieldsID="4f6b63d1aff621cf97a47fdb55b03b67" ns3:_="">
    <xsd:import namespace="b3535319-150c-4f7f-b60c-81bb3d4b38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535319-150c-4f7f-b60c-81bb3d4b38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1110E9-45BD-4182-9DDD-5FD253B00B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535319-150c-4f7f-b60c-81bb3d4b38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B9ADEE-2AA8-4BEC-8384-228002E42E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2BED99-38DF-4390-9D95-61DE989EAC54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b3535319-150c-4f7f-b60c-81bb3d4b3860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cfa792cf-7768-4341-8857-81754c2afa1f}" enabled="0" method="" siteId="{cfa792cf-7768-4341-8857-81754c2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Calculations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 Martinez</dc:creator>
  <cp:lastModifiedBy>Jayden Martinez</cp:lastModifiedBy>
  <dcterms:created xsi:type="dcterms:W3CDTF">2026-01-31T20:22:19Z</dcterms:created>
  <dcterms:modified xsi:type="dcterms:W3CDTF">2026-02-01T21:53:04Z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0x010100AA049599685DFC4E84EB532FE4E4C444</vt:lpwstr>
  </property>
</Properties>
</file>